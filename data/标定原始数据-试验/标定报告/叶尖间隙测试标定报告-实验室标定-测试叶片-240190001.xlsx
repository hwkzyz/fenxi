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DXB_2020y01m14d15h23m05s_DXB_23" sheetId="1" r:id="rId1"/>
  </sheets>
  <definedNames>
    <definedName name="_xlnm.Print_Area" localSheetId="0">DXB_2020y01m14d15h23m05s_DXB_23!$A$1:$G$41</definedName>
  </definedNames>
  <calcPr calcId="144525"/>
</workbook>
</file>

<file path=xl/sharedStrings.xml><?xml version="1.0" encoding="utf-8"?>
<sst xmlns="http://schemas.openxmlformats.org/spreadsheetml/2006/main" count="44" uniqueCount="43">
  <si>
    <r>
      <rPr>
        <b/>
        <sz val="16"/>
        <color theme="1"/>
        <rFont val="等线"/>
        <charset val="134"/>
        <scheme val="minor"/>
      </rPr>
      <t xml:space="preserve">传感器测量曲线校准报告            </t>
    </r>
    <r>
      <rPr>
        <b/>
        <sz val="10"/>
        <color theme="1"/>
        <rFont val="等线"/>
        <charset val="134"/>
        <scheme val="minor"/>
      </rPr>
      <t>NO.</t>
    </r>
  </si>
  <si>
    <t>客户名称：</t>
  </si>
  <si>
    <t>国防科技大学智能科学学院</t>
  </si>
  <si>
    <t>间隙测量系统型号：</t>
  </si>
  <si>
    <t>BCMS2000</t>
  </si>
  <si>
    <t>间隙测量系统编号：</t>
  </si>
  <si>
    <t>标定台编号：</t>
  </si>
  <si>
    <t>SM-BCB-01</t>
  </si>
  <si>
    <t>标定地点：</t>
  </si>
  <si>
    <t>善测</t>
  </si>
  <si>
    <t xml:space="preserve">时间: </t>
  </si>
  <si>
    <t xml:space="preserve">操作者: </t>
  </si>
  <si>
    <t>YWP</t>
  </si>
  <si>
    <t xml:space="preserve">传感器型号: </t>
  </si>
  <si>
    <t>ECP150 2401900001</t>
  </si>
  <si>
    <t xml:space="preserve">模块编号: </t>
  </si>
  <si>
    <t>C02-7E7-172</t>
  </si>
  <si>
    <t xml:space="preserve">叶片型号: </t>
  </si>
  <si>
    <t>测试叶片</t>
  </si>
  <si>
    <t xml:space="preserve">试验型号: </t>
  </si>
  <si>
    <t>实验室标定</t>
  </si>
  <si>
    <t>拟合阶数:</t>
  </si>
  <si>
    <t>公式形式:</t>
  </si>
  <si>
    <t>1/V</t>
  </si>
  <si>
    <t>底噪电平(mV):</t>
  </si>
  <si>
    <t>拟合多项式结果</t>
  </si>
  <si>
    <t>拟合误差结果</t>
  </si>
  <si>
    <t>Vraw(V)</t>
  </si>
  <si>
    <t>Err(mm)</t>
  </si>
  <si>
    <t>X(mm)</t>
  </si>
  <si>
    <t>Model(mm)</t>
  </si>
  <si>
    <t>拟合公式</t>
  </si>
  <si>
    <t>y=A5x^5+A4x^4+A3x^3+A2x^2+A1x+A0 , x=1/v</t>
  </si>
  <si>
    <t>阶数</t>
  </si>
  <si>
    <t>A5</t>
  </si>
  <si>
    <t>A4</t>
  </si>
  <si>
    <t>A3</t>
  </si>
  <si>
    <t>A2</t>
  </si>
  <si>
    <t>A1</t>
  </si>
  <si>
    <t>A0</t>
  </si>
  <si>
    <t>系数</t>
  </si>
  <si>
    <t>批准</t>
  </si>
  <si>
    <t>善测（天津）科技有限公司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</si>
</sst>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000000_ "/>
    <numFmt numFmtId="178" formatCode="0.000_ 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22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0" fillId="0" borderId="0" xfId="0" applyFill="1">
      <alignment vertical="center"/>
    </xf>
    <xf numFmtId="17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76313041514972"/>
          <c:y val="0.0572737686139748"/>
          <c:w val="0.85835435893094"/>
          <c:h val="0.804133632780438"/>
        </c:manualLayout>
      </c:layout>
      <c:scatterChart>
        <c:scatterStyle val="marker"/>
        <c:varyColors val="0"/>
        <c:ser>
          <c:idx val="0"/>
          <c:order val="0"/>
          <c:tx>
            <c:strRef>
              <c:f>DXB_2020y01m14d15h23m05s_DXB_23!$F$20</c:f>
              <c:strCache>
                <c:ptCount val="1"/>
                <c:pt idx="0">
                  <c:v>1/V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DXB_2020y01m14d15h23m05s_DXB_23!$F$21:$F$36</c:f>
              <c:numCache>
                <c:formatCode>General</c:formatCode>
                <c:ptCount val="16"/>
                <c:pt idx="0">
                  <c:v>0.221827861579414</c:v>
                </c:pt>
                <c:pt idx="1">
                  <c:v>0.269978401727862</c:v>
                </c:pt>
                <c:pt idx="2">
                  <c:v>0.326797385620915</c:v>
                </c:pt>
                <c:pt idx="3">
                  <c:v>0.393236335037357</c:v>
                </c:pt>
                <c:pt idx="4">
                  <c:v>0.472143531633617</c:v>
                </c:pt>
                <c:pt idx="5">
                  <c:v>0.563380281690141</c:v>
                </c:pt>
                <c:pt idx="6">
                  <c:v>0.672043010752688</c:v>
                </c:pt>
                <c:pt idx="7">
                  <c:v>0.798084596967279</c:v>
                </c:pt>
                <c:pt idx="8">
                  <c:v>0.949667616334283</c:v>
                </c:pt>
                <c:pt idx="9">
                  <c:v>1.11856823266219</c:v>
                </c:pt>
                <c:pt idx="10">
                  <c:v>1.32450331125828</c:v>
                </c:pt>
                <c:pt idx="11">
                  <c:v>1.55763239875389</c:v>
                </c:pt>
                <c:pt idx="12">
                  <c:v>1.80505415162455</c:v>
                </c:pt>
                <c:pt idx="13">
                  <c:v>2.12314225053079</c:v>
                </c:pt>
                <c:pt idx="14">
                  <c:v>2.49376558603491</c:v>
                </c:pt>
                <c:pt idx="15">
                  <c:v>2.91545189504373</c:v>
                </c:pt>
              </c:numCache>
            </c:numRef>
          </c:xVal>
          <c:yVal>
            <c:numRef>
              <c:f>DXB_2020y01m14d15h23m05s_DXB_23!$C$21:$C$36</c:f>
              <c:numCache>
                <c:formatCode>General</c:formatCode>
                <c:ptCount val="16"/>
                <c:pt idx="0">
                  <c:v>0.15</c:v>
                </c:pt>
                <c:pt idx="1">
                  <c:v>0.34</c:v>
                </c:pt>
                <c:pt idx="2">
                  <c:v>0.53</c:v>
                </c:pt>
                <c:pt idx="3">
                  <c:v>0.72</c:v>
                </c:pt>
                <c:pt idx="4">
                  <c:v>0.91</c:v>
                </c:pt>
                <c:pt idx="5">
                  <c:v>1.1</c:v>
                </c:pt>
                <c:pt idx="6">
                  <c:v>1.29</c:v>
                </c:pt>
                <c:pt idx="7">
                  <c:v>1.48</c:v>
                </c:pt>
                <c:pt idx="8">
                  <c:v>1.67</c:v>
                </c:pt>
                <c:pt idx="9">
                  <c:v>1.86</c:v>
                </c:pt>
                <c:pt idx="10">
                  <c:v>2.05</c:v>
                </c:pt>
                <c:pt idx="11">
                  <c:v>2.24</c:v>
                </c:pt>
                <c:pt idx="12">
                  <c:v>2.43</c:v>
                </c:pt>
                <c:pt idx="13">
                  <c:v>2.62</c:v>
                </c:pt>
                <c:pt idx="14">
                  <c:v>2.81</c:v>
                </c:pt>
                <c:pt idx="15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79728"/>
        <c:axId val="441827712"/>
      </c:scatterChart>
      <c:valAx>
        <c:axId val="5437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827712"/>
        <c:crosses val="autoZero"/>
        <c:crossBetween val="midCat"/>
      </c:valAx>
      <c:valAx>
        <c:axId val="4418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7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266699</xdr:colOff>
      <xdr:row>2</xdr:row>
      <xdr:rowOff>144780</xdr:rowOff>
    </xdr:from>
    <xdr:to>
      <xdr:col>6</xdr:col>
      <xdr:colOff>847724</xdr:colOff>
      <xdr:row>15</xdr:row>
      <xdr:rowOff>190500</xdr:rowOff>
    </xdr:to>
    <xdr:graphicFrame>
      <xdr:nvGraphicFramePr>
        <xdr:cNvPr id="2" name="图表 1"/>
        <xdr:cNvGraphicFramePr/>
      </xdr:nvGraphicFramePr>
      <xdr:xfrm>
        <a:off x="3152140" y="1014095"/>
        <a:ext cx="5133975" cy="391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</xdr:colOff>
      <xdr:row>0</xdr:row>
      <xdr:rowOff>38100</xdr:rowOff>
    </xdr:from>
    <xdr:to>
      <xdr:col>0</xdr:col>
      <xdr:colOff>1234439</xdr:colOff>
      <xdr:row>0</xdr:row>
      <xdr:rowOff>411480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38100"/>
          <a:ext cx="1210945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tabSelected="1" workbookViewId="0">
      <selection activeCell="B10" sqref="B10"/>
    </sheetView>
  </sheetViews>
  <sheetFormatPr defaultColWidth="9" defaultRowHeight="14.25"/>
  <cols>
    <col min="1" max="1" width="18.75" customWidth="1"/>
    <col min="2" max="2" width="19.125" customWidth="1"/>
    <col min="3" max="3" width="15" customWidth="1"/>
    <col min="4" max="4" width="15.875" customWidth="1"/>
    <col min="5" max="5" width="15" customWidth="1"/>
    <col min="6" max="6" width="13.875" customWidth="1"/>
    <col min="7" max="7" width="13.625" customWidth="1"/>
  </cols>
  <sheetData>
    <row r="1" ht="45" customHeight="1" spans="1:7">
      <c r="A1" s="2" t="s">
        <v>0</v>
      </c>
      <c r="B1" s="3"/>
      <c r="C1" s="3"/>
      <c r="D1" s="3"/>
      <c r="E1" s="3"/>
      <c r="F1" s="3"/>
      <c r="G1" s="3"/>
    </row>
    <row r="2" ht="23.45" customHeight="1" spans="1:7">
      <c r="A2" s="4" t="s">
        <v>1</v>
      </c>
      <c r="B2" s="5" t="s">
        <v>2</v>
      </c>
      <c r="C2" s="5"/>
      <c r="D2" s="5"/>
      <c r="E2" s="5"/>
      <c r="F2" s="5"/>
      <c r="G2" s="5"/>
    </row>
    <row r="3" ht="23.45" customHeight="1" spans="1:7">
      <c r="A3" s="4" t="s">
        <v>3</v>
      </c>
      <c r="B3" s="6" t="s">
        <v>4</v>
      </c>
      <c r="C3" s="5"/>
      <c r="D3" s="5"/>
      <c r="E3" s="5"/>
      <c r="F3" s="5"/>
      <c r="G3" s="5"/>
    </row>
    <row r="4" ht="23.45" customHeight="1" spans="1:7">
      <c r="A4" s="4" t="s">
        <v>5</v>
      </c>
      <c r="B4" s="7">
        <v>422409002</v>
      </c>
      <c r="C4" s="5"/>
      <c r="D4" s="5"/>
      <c r="E4" s="5"/>
      <c r="F4" s="5"/>
      <c r="G4" s="5"/>
    </row>
    <row r="5" ht="23.45" customHeight="1" spans="1:7">
      <c r="A5" s="4" t="s">
        <v>6</v>
      </c>
      <c r="B5" s="8" t="s">
        <v>7</v>
      </c>
      <c r="C5" s="5"/>
      <c r="D5" s="5"/>
      <c r="E5" s="5"/>
      <c r="F5" s="5"/>
      <c r="G5" s="5"/>
    </row>
    <row r="6" ht="23.45" customHeight="1" spans="1:7">
      <c r="A6" s="4" t="s">
        <v>8</v>
      </c>
      <c r="B6" s="8" t="s">
        <v>9</v>
      </c>
      <c r="C6" s="5"/>
      <c r="D6" s="5"/>
      <c r="E6" s="5"/>
      <c r="F6" s="5"/>
      <c r="G6" s="5"/>
    </row>
    <row r="7" ht="23.45" customHeight="1" spans="1:7">
      <c r="A7" s="4" t="s">
        <v>10</v>
      </c>
      <c r="B7" s="7">
        <v>20250903</v>
      </c>
      <c r="C7" s="5"/>
      <c r="D7" s="5"/>
      <c r="E7" s="5"/>
      <c r="F7" s="5"/>
      <c r="G7" s="5"/>
    </row>
    <row r="8" ht="23.45" customHeight="1" spans="1:7">
      <c r="A8" s="4" t="s">
        <v>11</v>
      </c>
      <c r="B8" s="9" t="s">
        <v>12</v>
      </c>
      <c r="C8" s="5"/>
      <c r="D8" s="5"/>
      <c r="E8" s="5"/>
      <c r="F8" s="5"/>
      <c r="G8" s="5"/>
    </row>
    <row r="9" ht="23.45" customHeight="1" spans="1:7">
      <c r="A9" s="10" t="s">
        <v>13</v>
      </c>
      <c r="B9" s="11" t="s">
        <v>14</v>
      </c>
      <c r="C9" s="5"/>
      <c r="D9" s="5"/>
      <c r="E9" s="5"/>
      <c r="F9" s="5"/>
      <c r="G9" s="5"/>
    </row>
    <row r="10" ht="23.45" customHeight="1" spans="1:7">
      <c r="A10" s="4" t="s">
        <v>15</v>
      </c>
      <c r="B10" s="12" t="s">
        <v>16</v>
      </c>
      <c r="C10" s="5"/>
      <c r="D10" s="5"/>
      <c r="E10" s="5"/>
      <c r="F10" s="5"/>
      <c r="G10" s="5"/>
    </row>
    <row r="11" ht="23.45" customHeight="1" spans="1:7">
      <c r="A11" s="4" t="s">
        <v>17</v>
      </c>
      <c r="B11" s="9" t="s">
        <v>18</v>
      </c>
      <c r="C11" s="5"/>
      <c r="D11" s="5"/>
      <c r="E11" s="5"/>
      <c r="F11" s="5"/>
      <c r="G11" s="5"/>
    </row>
    <row r="12" ht="23.45" customHeight="1" spans="1:7">
      <c r="A12" s="4" t="s">
        <v>19</v>
      </c>
      <c r="B12" s="9" t="s">
        <v>20</v>
      </c>
      <c r="C12" s="5"/>
      <c r="D12" s="5"/>
      <c r="E12" s="5"/>
      <c r="F12" s="5"/>
      <c r="G12" s="5"/>
    </row>
    <row r="13" ht="23.45" customHeight="1" spans="1:7">
      <c r="A13" s="4" t="s">
        <v>21</v>
      </c>
      <c r="B13" s="4">
        <v>5</v>
      </c>
      <c r="C13" s="5"/>
      <c r="D13" s="5"/>
      <c r="E13" s="5"/>
      <c r="F13" s="5"/>
      <c r="G13" s="5"/>
    </row>
    <row r="14" ht="23.45" customHeight="1" spans="1:7">
      <c r="A14" s="4" t="s">
        <v>22</v>
      </c>
      <c r="B14" s="4" t="s">
        <v>23</v>
      </c>
      <c r="C14" s="5"/>
      <c r="D14" s="5"/>
      <c r="E14" s="5"/>
      <c r="F14" s="5"/>
      <c r="G14" s="5"/>
    </row>
    <row r="15" ht="23.45" customHeight="1" spans="1:7">
      <c r="A15" s="4" t="s">
        <v>24</v>
      </c>
      <c r="B15" s="4">
        <v>0</v>
      </c>
      <c r="C15" s="5"/>
      <c r="D15" s="5"/>
      <c r="E15" s="5"/>
      <c r="F15" s="5"/>
      <c r="G15" s="5"/>
    </row>
    <row r="16" ht="23.45" customHeight="1" spans="1:7">
      <c r="A16" s="4" t="s">
        <v>25</v>
      </c>
      <c r="B16" s="4"/>
      <c r="C16" s="5"/>
      <c r="D16" s="5"/>
      <c r="E16" s="5"/>
      <c r="F16" s="5"/>
      <c r="G16" s="5"/>
    </row>
    <row r="17" ht="23.45" customHeight="1" spans="1:7">
      <c r="A17" s="4">
        <v>5</v>
      </c>
      <c r="B17" s="4">
        <v>4</v>
      </c>
      <c r="C17" s="4">
        <v>3</v>
      </c>
      <c r="D17" s="4">
        <v>2</v>
      </c>
      <c r="E17" s="4">
        <v>1</v>
      </c>
      <c r="F17" s="4">
        <v>0</v>
      </c>
      <c r="G17" s="4"/>
    </row>
    <row r="18" ht="23.45" customHeight="1" spans="1:7">
      <c r="A18" s="13">
        <f>INDEX(LINEST($C$21:$C$36,$F$21:$F$36^{1,2,3,4,5},TRUE,TRUE),1,1)</f>
        <v>0.098056571781215</v>
      </c>
      <c r="B18" s="13">
        <f>INDEX(LINEST($C$21:$C$36,$F$21:$F$36^{1,2,3,4,5},TRUE,TRUE),1,2)</f>
        <v>-0.88168753947333</v>
      </c>
      <c r="C18" s="13">
        <f>INDEX(LINEST($C$21:$C$36,$F$21:$F$36^{1,2,3,4,5},TRUE,TRUE),1,3)</f>
        <v>3.08109153043693</v>
      </c>
      <c r="D18" s="13">
        <f>INDEX(LINEST($C$21:$C$36,$F$21:$F$36^{1,2,3,4,5},TRUE,TRUE),1,4)</f>
        <v>-5.43015492257148</v>
      </c>
      <c r="E18" s="13">
        <f>INDEX(LINEST($C$21:$C$36,$F$21:$F$36^{1,2,3,4,5},TRUE,TRUE),1,5)</f>
        <v>5.73600164134772</v>
      </c>
      <c r="F18" s="13">
        <f>INDEX(LINEST($C$21:$C$36,$F$21:$F$36^{1,2,3,4,5},TRUE,TRUE),1,6)</f>
        <v>-0.872774015685017</v>
      </c>
      <c r="G18" s="4"/>
    </row>
    <row r="19" ht="23.45" customHeight="1" spans="1:7">
      <c r="A19" s="4" t="s">
        <v>26</v>
      </c>
      <c r="B19" s="4"/>
      <c r="C19" s="4"/>
      <c r="D19" s="4"/>
      <c r="E19" s="4"/>
      <c r="F19" s="4"/>
      <c r="G19" s="4"/>
    </row>
    <row r="20" ht="23.45" customHeight="1" spans="1:7">
      <c r="A20" s="4" t="s">
        <v>27</v>
      </c>
      <c r="B20" s="4" t="s">
        <v>28</v>
      </c>
      <c r="C20" s="4" t="s">
        <v>29</v>
      </c>
      <c r="D20" s="4" t="s">
        <v>30</v>
      </c>
      <c r="E20" s="4"/>
      <c r="F20" s="4" t="s">
        <v>23</v>
      </c>
      <c r="G20" s="4"/>
    </row>
    <row r="21" ht="23.45" customHeight="1" spans="1:13">
      <c r="A21" s="14">
        <v>4.508</v>
      </c>
      <c r="B21" s="15">
        <f>C21-D21</f>
        <v>-0.0139758460507748</v>
      </c>
      <c r="C21" s="14">
        <v>0.15</v>
      </c>
      <c r="D21" s="16">
        <f>$A$18*POWER(F21,5)+$B$18*POWER(F21,4)+$C$18*POWER(F21,3)+$D$18*POWER(F21,2)+$E$18*POWER(F21,1)+$F$18</f>
        <v>0.163975846050775</v>
      </c>
      <c r="E21" s="4"/>
      <c r="F21" s="4">
        <f>1/A21</f>
        <v>0.221827861579414</v>
      </c>
      <c r="G21" s="4"/>
      <c r="J21" s="27"/>
      <c r="K21" s="27"/>
      <c r="L21" s="27"/>
      <c r="M21" s="12"/>
    </row>
    <row r="22" ht="23.45" customHeight="1" spans="1:13">
      <c r="A22" s="14">
        <v>3.704</v>
      </c>
      <c r="B22" s="15">
        <f t="shared" ref="B22:B36" si="0">C22-D22</f>
        <v>0.00388535805406937</v>
      </c>
      <c r="C22" s="14">
        <v>0.34</v>
      </c>
      <c r="D22" s="16">
        <f t="shared" ref="D22:D36" si="1">$A$18*POWER(F22,5)+$B$18*POWER(F22,4)+$C$18*POWER(F22,3)+$D$18*POWER(F22,2)+$E$18*POWER(F22,1)+$F$18</f>
        <v>0.336114641945931</v>
      </c>
      <c r="E22" s="4"/>
      <c r="F22" s="4">
        <f t="shared" ref="F22:F36" si="2">1/A22</f>
        <v>0.269978401727862</v>
      </c>
      <c r="G22" s="4"/>
      <c r="J22" s="27"/>
      <c r="K22" s="12"/>
      <c r="L22" s="12"/>
      <c r="M22" s="12"/>
    </row>
    <row r="23" ht="23.45" customHeight="1" spans="1:13">
      <c r="A23" s="14">
        <v>3.06</v>
      </c>
      <c r="B23" s="15">
        <f t="shared" si="0"/>
        <v>0.010343343554079</v>
      </c>
      <c r="C23" s="14">
        <v>0.53</v>
      </c>
      <c r="D23" s="16">
        <f t="shared" si="1"/>
        <v>0.519656656445921</v>
      </c>
      <c r="E23" s="4"/>
      <c r="F23" s="4">
        <f t="shared" si="2"/>
        <v>0.326797385620915</v>
      </c>
      <c r="G23" s="4"/>
      <c r="J23" s="27"/>
      <c r="K23" s="12"/>
      <c r="L23" s="12"/>
      <c r="M23" s="12"/>
    </row>
    <row r="24" ht="23.45" customHeight="1" spans="1:7">
      <c r="A24" s="14">
        <v>2.543</v>
      </c>
      <c r="B24" s="15">
        <f t="shared" si="0"/>
        <v>0.00966647293018852</v>
      </c>
      <c r="C24" s="14">
        <v>0.72</v>
      </c>
      <c r="D24" s="16">
        <f t="shared" si="1"/>
        <v>0.710333527069811</v>
      </c>
      <c r="E24" s="4"/>
      <c r="F24" s="4">
        <f t="shared" si="2"/>
        <v>0.393236335037357</v>
      </c>
      <c r="G24" s="4"/>
    </row>
    <row r="25" ht="23.45" customHeight="1" spans="1:7">
      <c r="A25" s="14">
        <v>2.118</v>
      </c>
      <c r="B25" s="15">
        <f t="shared" si="0"/>
        <v>0.00227370250280223</v>
      </c>
      <c r="C25" s="14">
        <v>0.91</v>
      </c>
      <c r="D25" s="16">
        <f t="shared" si="1"/>
        <v>0.907726297497198</v>
      </c>
      <c r="E25" s="4"/>
      <c r="F25" s="4">
        <f t="shared" si="2"/>
        <v>0.472143531633617</v>
      </c>
      <c r="G25" s="4"/>
    </row>
    <row r="26" ht="23.45" customHeight="1" spans="1:7">
      <c r="A26" s="14">
        <v>1.775</v>
      </c>
      <c r="B26" s="15">
        <f t="shared" si="0"/>
        <v>-0.00294919774342151</v>
      </c>
      <c r="C26" s="14">
        <v>1.1</v>
      </c>
      <c r="D26" s="16">
        <f t="shared" si="1"/>
        <v>1.10294919774342</v>
      </c>
      <c r="E26" s="4"/>
      <c r="F26" s="4">
        <f t="shared" si="2"/>
        <v>0.563380281690141</v>
      </c>
      <c r="G26" s="4"/>
    </row>
    <row r="27" ht="23.45" customHeight="1" spans="1:7">
      <c r="A27" s="14">
        <v>1.488</v>
      </c>
      <c r="B27" s="15">
        <f t="shared" si="0"/>
        <v>-0.00835712620623164</v>
      </c>
      <c r="C27" s="14">
        <v>1.29</v>
      </c>
      <c r="D27" s="16">
        <f t="shared" si="1"/>
        <v>1.29835712620623</v>
      </c>
      <c r="E27" s="4"/>
      <c r="F27" s="4">
        <f t="shared" si="2"/>
        <v>0.672043010752688</v>
      </c>
      <c r="G27" s="4"/>
    </row>
    <row r="28" ht="23.45" customHeight="1" spans="1:7">
      <c r="A28" s="14">
        <v>1.253</v>
      </c>
      <c r="B28" s="15">
        <f t="shared" si="0"/>
        <v>-0.00663337797181351</v>
      </c>
      <c r="C28" s="14">
        <v>1.48</v>
      </c>
      <c r="D28" s="16">
        <f t="shared" si="1"/>
        <v>1.48663337797181</v>
      </c>
      <c r="E28" s="4"/>
      <c r="F28" s="4">
        <f t="shared" si="2"/>
        <v>0.798084596967279</v>
      </c>
      <c r="G28" s="4"/>
    </row>
    <row r="29" ht="23.45" customHeight="1" spans="1:7">
      <c r="A29" s="14">
        <v>1.053</v>
      </c>
      <c r="B29" s="15">
        <f t="shared" si="0"/>
        <v>-0.00472010169084425</v>
      </c>
      <c r="C29" s="14">
        <v>1.67</v>
      </c>
      <c r="D29" s="16">
        <f t="shared" si="1"/>
        <v>1.67472010169084</v>
      </c>
      <c r="E29" s="4"/>
      <c r="F29" s="4">
        <f t="shared" si="2"/>
        <v>0.949667616334283</v>
      </c>
      <c r="G29" s="4"/>
    </row>
    <row r="30" ht="23.45" customHeight="1" spans="1:7">
      <c r="A30" s="14">
        <v>0.894</v>
      </c>
      <c r="B30" s="15">
        <f t="shared" si="0"/>
        <v>0.00727932492935235</v>
      </c>
      <c r="C30" s="14">
        <v>1.86</v>
      </c>
      <c r="D30" s="16">
        <f t="shared" si="1"/>
        <v>1.85272067507065</v>
      </c>
      <c r="E30" s="4"/>
      <c r="F30" s="4">
        <f t="shared" si="2"/>
        <v>1.11856823266219</v>
      </c>
      <c r="G30" s="4"/>
    </row>
    <row r="31" ht="23.45" customHeight="1" spans="1:7">
      <c r="A31" s="14">
        <v>0.755</v>
      </c>
      <c r="B31" s="15">
        <f t="shared" si="0"/>
        <v>0.00617749723650807</v>
      </c>
      <c r="C31" s="14">
        <v>2.05</v>
      </c>
      <c r="D31" s="16">
        <f t="shared" si="1"/>
        <v>2.04382250276349</v>
      </c>
      <c r="E31" s="4"/>
      <c r="F31" s="4">
        <f t="shared" si="2"/>
        <v>1.32450331125828</v>
      </c>
      <c r="G31" s="4"/>
    </row>
    <row r="32" ht="23.45" customHeight="1" spans="1:7">
      <c r="A32" s="14">
        <v>0.642</v>
      </c>
      <c r="B32" s="15">
        <f t="shared" si="0"/>
        <v>7.01149885173891e-6</v>
      </c>
      <c r="C32" s="14">
        <v>2.24</v>
      </c>
      <c r="D32" s="16">
        <f t="shared" si="1"/>
        <v>2.23999298850115</v>
      </c>
      <c r="E32" s="4"/>
      <c r="F32" s="4">
        <f t="shared" si="2"/>
        <v>1.55763239875389</v>
      </c>
      <c r="G32" s="4"/>
    </row>
    <row r="33" ht="23.45" customHeight="1" spans="1:7">
      <c r="A33" s="14">
        <v>0.554</v>
      </c>
      <c r="B33" s="15">
        <f t="shared" si="0"/>
        <v>0.00189929692076829</v>
      </c>
      <c r="C33" s="14">
        <v>2.43</v>
      </c>
      <c r="D33" s="16">
        <f t="shared" si="1"/>
        <v>2.42810070307923</v>
      </c>
      <c r="E33" s="4"/>
      <c r="F33" s="4">
        <f t="shared" si="2"/>
        <v>1.80505415162455</v>
      </c>
      <c r="G33" s="4"/>
    </row>
    <row r="34" ht="23.45" customHeight="1" spans="1:7">
      <c r="A34" s="14">
        <v>0.471</v>
      </c>
      <c r="B34" s="15">
        <f t="shared" si="0"/>
        <v>-0.0103727145800736</v>
      </c>
      <c r="C34" s="14">
        <v>2.62</v>
      </c>
      <c r="D34" s="16">
        <f t="shared" si="1"/>
        <v>2.63037271458007</v>
      </c>
      <c r="E34" s="4"/>
      <c r="F34" s="4">
        <f t="shared" si="2"/>
        <v>2.12314225053079</v>
      </c>
      <c r="G34" s="4"/>
    </row>
    <row r="35" ht="23.45" customHeight="1" spans="1:7">
      <c r="A35" s="14">
        <v>0.401</v>
      </c>
      <c r="B35" s="15">
        <f t="shared" si="0"/>
        <v>0.00677360392688486</v>
      </c>
      <c r="C35" s="14">
        <v>2.81</v>
      </c>
      <c r="D35" s="16">
        <f t="shared" si="1"/>
        <v>2.80322639607312</v>
      </c>
      <c r="E35" s="4"/>
      <c r="F35" s="4">
        <f t="shared" si="2"/>
        <v>2.49376558603491</v>
      </c>
      <c r="G35" s="4"/>
    </row>
    <row r="36" ht="23.45" customHeight="1" spans="1:7">
      <c r="A36" s="14">
        <v>0.343</v>
      </c>
      <c r="B36" s="15">
        <f t="shared" si="0"/>
        <v>-0.00129724731037317</v>
      </c>
      <c r="C36" s="14">
        <v>3</v>
      </c>
      <c r="D36" s="16">
        <f t="shared" si="1"/>
        <v>3.00129724731037</v>
      </c>
      <c r="E36" s="4"/>
      <c r="F36" s="4">
        <f t="shared" si="2"/>
        <v>2.91545189504373</v>
      </c>
      <c r="G36" s="4"/>
    </row>
    <row r="37" ht="23.45" customHeight="1" spans="1:7">
      <c r="A37" s="3" t="s">
        <v>31</v>
      </c>
      <c r="B37" s="17" t="s">
        <v>32</v>
      </c>
      <c r="C37" s="18"/>
      <c r="D37" s="18"/>
      <c r="E37" s="18"/>
      <c r="F37" s="18"/>
      <c r="G37" s="19"/>
    </row>
    <row r="38" ht="23.45" customHeight="1" spans="1:7">
      <c r="A38" s="20" t="s">
        <v>33</v>
      </c>
      <c r="B38" s="21" t="s">
        <v>34</v>
      </c>
      <c r="C38" s="21" t="s">
        <v>35</v>
      </c>
      <c r="D38" s="21" t="s">
        <v>36</v>
      </c>
      <c r="E38" s="21" t="s">
        <v>37</v>
      </c>
      <c r="F38" s="21" t="s">
        <v>38</v>
      </c>
      <c r="G38" s="21" t="s">
        <v>39</v>
      </c>
    </row>
    <row r="39" s="1" customFormat="1" ht="29.25" customHeight="1" spans="1:7">
      <c r="A39" s="22" t="s">
        <v>40</v>
      </c>
      <c r="B39" s="23">
        <f>INDEX(LINEST($C$21:$C$36,$F$21:$F$36^{1,2,3,4,5},TRUE,TRUE),1,1)</f>
        <v>0.098056571781215</v>
      </c>
      <c r="C39" s="23">
        <f>INDEX(LINEST($C$21:$C$36,$F$21:$F$36^{1,2,3,4,5},TRUE,TRUE),1,2)</f>
        <v>-0.88168753947333</v>
      </c>
      <c r="D39" s="23">
        <f>INDEX(LINEST($C$21:$C$36,$F$21:$F$36^{1,2,3,4,5},TRUE,TRUE),1,3)</f>
        <v>3.08109153043693</v>
      </c>
      <c r="E39" s="23">
        <f>INDEX(LINEST($C$21:$C$36,$F$21:$F$36^{1,2,3,4,5},TRUE,TRUE),1,4)</f>
        <v>-5.43015492257148</v>
      </c>
      <c r="F39" s="23">
        <f>INDEX(LINEST($C$21:$C$36,$F$21:$F$36^{1,2,3,4,5},TRUE,TRUE),1,5)</f>
        <v>5.73600164134772</v>
      </c>
      <c r="G39" s="23">
        <f>INDEX(LINEST($C$21:$C$36,$F$21:$F$36^{1,2,3,4,5},TRUE,TRUE),1,6)</f>
        <v>-0.872774015685017</v>
      </c>
    </row>
    <row r="40" spans="1:7">
      <c r="A40" s="24" t="s">
        <v>41</v>
      </c>
      <c r="B40" s="24" t="s">
        <v>42</v>
      </c>
      <c r="C40" s="25"/>
      <c r="D40" s="25"/>
      <c r="E40" s="25"/>
      <c r="F40" s="25"/>
      <c r="G40" s="25"/>
    </row>
    <row r="41" customHeight="1" spans="1:7">
      <c r="A41" s="26"/>
      <c r="B41" s="26"/>
      <c r="C41" s="26"/>
      <c r="D41" s="26"/>
      <c r="E41" s="26"/>
      <c r="F41" s="26"/>
      <c r="G41" s="26"/>
    </row>
  </sheetData>
  <mergeCells count="6">
    <mergeCell ref="A1:G1"/>
    <mergeCell ref="B2:G2"/>
    <mergeCell ref="B37:G37"/>
    <mergeCell ref="A40:A41"/>
    <mergeCell ref="C3:G16"/>
    <mergeCell ref="B40:G4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DXB_2020y01m14d15h23m05s_DXB_23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Yedechao</dc:creator>
  <cp:lastModifiedBy>SM-G7</cp:lastModifiedBy>
  <dcterms:created xsi:type="dcterms:W3CDTF">2020-02-06T05:46:00Z</dcterms:created>
  <cp:lastPrinted>2022-11-20T09:02:00Z</cp:lastPrinted>
  <dcterms:modified xsi:type="dcterms:W3CDTF">2025-09-03T09:58:14Z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B5E7099C2A70426CA70810FADDFF4A54</vt:lpwstr>
  </property>
  <property fmtid="{D5CDD505-2E9C-101B-9397-08002B2CF9AE}" pid="3" name="KSOProductBuildVer">
    <vt:lpwstr>2052-11.8.2.12195</vt:lpwstr>
  </property>
</Properties>
</file>